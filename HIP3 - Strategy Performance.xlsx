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Lending" sheetId="2" r:id="rId6"/>
    <sheet state="visible" name="Delta Neutral" sheetId="3" r:id="rId7"/>
    <sheet state="visible" name="Depeg" sheetId="4" r:id="rId8"/>
    <sheet state="visible" name="Sheet6" sheetId="5" r:id="rId9"/>
    <sheet state="visible" name="Sheet1" sheetId="6" r:id="rId10"/>
  </sheets>
  <definedNames/>
  <calcPr/>
</workbook>
</file>

<file path=xl/sharedStrings.xml><?xml version="1.0" encoding="utf-8"?>
<sst xmlns="http://schemas.openxmlformats.org/spreadsheetml/2006/main" count="55" uniqueCount="32">
  <si>
    <t>Date</t>
  </si>
  <si>
    <t>Strategies</t>
  </si>
  <si>
    <t>Strategy Equity ($)</t>
  </si>
  <si>
    <t>Strategy APR</t>
  </si>
  <si>
    <t>Weights (%)</t>
  </si>
  <si>
    <t>Total APR</t>
  </si>
  <si>
    <t>Total Equity</t>
  </si>
  <si>
    <t>Lending</t>
  </si>
  <si>
    <t>Delta Neutral</t>
  </si>
  <si>
    <t>Depeg</t>
  </si>
  <si>
    <t>0x0BdFcFbd77c0f3170aC5231480BbB1E45eEBa9ae</t>
  </si>
  <si>
    <t>Equity</t>
  </si>
  <si>
    <t>APR</t>
  </si>
  <si>
    <t>Cash flow</t>
  </si>
  <si>
    <t>Total PnL ($)</t>
  </si>
  <si>
    <t>Funding ($)</t>
  </si>
  <si>
    <t>APR (%)</t>
  </si>
  <si>
    <t>Cash in/out</t>
  </si>
  <si>
    <t>Equity (USDC)</t>
  </si>
  <si>
    <t>TholosTradexyz Equity</t>
  </si>
  <si>
    <t>Keystone tradexyz equity</t>
  </si>
  <si>
    <t>Felix Equity</t>
  </si>
  <si>
    <t>Trade depeg</t>
  </si>
  <si>
    <t>Lending APR(%)</t>
  </si>
  <si>
    <t>Cash In/Out</t>
  </si>
  <si>
    <t>Fees</t>
  </si>
  <si>
    <t>Symbol</t>
  </si>
  <si>
    <t>Fee ($)</t>
  </si>
  <si>
    <t>Fee (%)</t>
  </si>
  <si>
    <t>ORCL</t>
  </si>
  <si>
    <t>MU</t>
  </si>
  <si>
    <t>Total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</si>
</sst>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0.00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Font="1" applyNumberFormat="1"/>
    <xf borderId="0" fillId="0" fontId="1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ta Neutr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5" displayName="Table4" name="Table4" id="1">
  <tableColumns count="7">
    <tableColumn name="Date" id="1"/>
    <tableColumn name="Strategies" id="2"/>
    <tableColumn name="Strategy Equity ($)" id="3"/>
    <tableColumn name="Strategy APR" id="4"/>
    <tableColumn name="Weights (%)" id="5"/>
    <tableColumn name="Total APR" id="6"/>
    <tableColumn name="Total Equity" id="7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D29" displayName="Table3" name="Table3" id="2">
  <tableColumns count="4">
    <tableColumn name="Date" id="1"/>
    <tableColumn name="Equity" id="2"/>
    <tableColumn name="APR" id="3"/>
    <tableColumn name="Cash flow" id="4"/>
  </tableColumns>
  <tableStyleInfo name="Lending-style" showColumnStripes="0" showFirstColumn="1" showLastColumn="1" showRowStripes="1"/>
</table>
</file>

<file path=xl/tables/table3.xml><?xml version="1.0" encoding="utf-8"?>
<table xmlns="http://schemas.openxmlformats.org/spreadsheetml/2006/main" ref="A1:F29" displayName="Table2" name="Table2" id="3">
  <tableColumns count="6">
    <tableColumn name="Date" id="1"/>
    <tableColumn name="Equity" id="2"/>
    <tableColumn name="Total PnL ($)" id="3"/>
    <tableColumn name="Funding ($)" id="4"/>
    <tableColumn name="APR (%)" id="5"/>
    <tableColumn name="Cash in/out" id="6"/>
  </tableColumns>
  <tableStyleInfo name="Delta Neutral-style" showColumnStripes="0" showFirstColumn="1" showLastColumn="1" showRowStripes="1"/>
</table>
</file>

<file path=xl/tables/table4.xml><?xml version="1.0" encoding="utf-8"?>
<table xmlns="http://schemas.openxmlformats.org/spreadsheetml/2006/main" ref="A1:I46" displayName="Table1" name="Table1" id="4">
  <tableColumns count="9">
    <tableColumn name="Date" id="1"/>
    <tableColumn name="Total Equity" id="2"/>
    <tableColumn name="TholosTradexyz Equity" id="3"/>
    <tableColumn name="Keystone tradexyz equity" id="4"/>
    <tableColumn name="Felix Equity" id="5"/>
    <tableColumn name="Lending" id="6"/>
    <tableColumn name="Trade depeg" id="7"/>
    <tableColumn name="Lending APR(%)" id="8"/>
    <tableColumn name="Cash In/Out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3" max="3" width="19.13"/>
    <col customWidth="1" min="4" max="4" width="15.25"/>
    <col customWidth="1" min="5" max="5" width="14.25"/>
    <col customWidth="1" min="6" max="6" width="16.0"/>
    <col customWidth="1" min="7" max="7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46105.41550008101</v>
      </c>
      <c r="B2" s="3" t="s">
        <v>7</v>
      </c>
      <c r="C2" s="4">
        <f>Lending!B3</f>
        <v>64051.0631</v>
      </c>
      <c r="D2" s="5">
        <f>Lending!C3</f>
        <v>0.04160274888</v>
      </c>
      <c r="E2" s="5">
        <f>C2/sum(C2:C4)</f>
        <v>0.6401746391</v>
      </c>
      <c r="F2" s="6">
        <f>sum(D2*E2,D3*E3,D4*E4)</f>
        <v>0.01395372374</v>
      </c>
    </row>
    <row r="3" ht="22.5" customHeight="1">
      <c r="B3" s="3" t="s">
        <v>8</v>
      </c>
      <c r="C3" s="7">
        <f>'Delta Neutral'!B3</f>
        <v>31001.21</v>
      </c>
      <c r="D3" s="5">
        <f>'Delta Neutral'!E3</f>
        <v>-0.04127628571</v>
      </c>
      <c r="E3" s="5">
        <f>C3/sum(C2:C4)</f>
        <v>0.3098494773</v>
      </c>
      <c r="F3" s="6"/>
    </row>
    <row r="4" ht="22.5" customHeight="1">
      <c r="B4" s="3" t="s">
        <v>9</v>
      </c>
      <c r="C4" s="7">
        <f>Depeg!B3</f>
        <v>5000.211319</v>
      </c>
      <c r="D4" s="5">
        <f>Depeg!C3</f>
        <v>0.002203753721</v>
      </c>
      <c r="E4" s="5">
        <f>C4/SUM(C2:C4)</f>
        <v>0.04997588364</v>
      </c>
      <c r="F4" s="6"/>
    </row>
    <row r="5" ht="22.5" customHeight="1">
      <c r="F5" s="6"/>
      <c r="M5" s="8" t="s">
        <v>10</v>
      </c>
    </row>
    <row r="6" ht="22.5" customHeight="1">
      <c r="A6" s="2">
        <v>46107.40957960648</v>
      </c>
      <c r="B6" s="3" t="s">
        <v>7</v>
      </c>
      <c r="C6" s="4">
        <f>Lending!B4</f>
        <v>54067.8685</v>
      </c>
      <c r="D6" s="5">
        <f>Lending!C4</f>
        <v>0.04788344411</v>
      </c>
      <c r="E6" s="5">
        <f>C6/sum(C6:C8)</f>
        <v>0.5394935879</v>
      </c>
      <c r="F6" s="6">
        <f>sum(D6*E6,D7*E7,D8*E8)</f>
        <v>0.009843597595</v>
      </c>
    </row>
    <row r="7" ht="22.5" customHeight="1">
      <c r="B7" s="3" t="s">
        <v>8</v>
      </c>
      <c r="C7" s="7">
        <f>'Delta Neutral'!B4</f>
        <v>41151.35</v>
      </c>
      <c r="D7" s="5">
        <f>'Delta Neutral'!E4</f>
        <v>-0.0392927571</v>
      </c>
      <c r="E7" s="5">
        <f>C7/sum(C6:C8)</f>
        <v>0.4106115161</v>
      </c>
      <c r="F7" s="6"/>
    </row>
    <row r="8" ht="22.5" customHeight="1">
      <c r="B8" s="3" t="s">
        <v>9</v>
      </c>
      <c r="C8" s="4">
        <f>Depeg!B4</f>
        <v>5000.449932</v>
      </c>
      <c r="D8" s="5">
        <f>Depeg!C4</f>
        <v>0.002903004331</v>
      </c>
      <c r="E8" s="5">
        <f>C8/SUM(C6:C8)</f>
        <v>0.04989489598</v>
      </c>
      <c r="F8" s="6"/>
    </row>
    <row r="9" ht="22.5" customHeight="1">
      <c r="F9" s="6"/>
      <c r="N9" s="8">
        <v>10000.0</v>
      </c>
    </row>
    <row r="10" ht="22.5" customHeight="1">
      <c r="A10" s="2">
        <v>46111.41536570602</v>
      </c>
      <c r="B10" s="3" t="s">
        <v>7</v>
      </c>
      <c r="C10" s="4">
        <f>Lending!B5</f>
        <v>49054.4551</v>
      </c>
      <c r="D10" s="5">
        <f>Lending!C5</f>
        <v>0.03643156841</v>
      </c>
      <c r="E10" s="5">
        <f>C10/sum(C10:C12)</f>
        <v>0.4989730794</v>
      </c>
      <c r="F10" s="6">
        <f>sum(D10*E10,D11*E11,D12*E12)</f>
        <v>0.05192609321</v>
      </c>
    </row>
    <row r="11" ht="22.5" customHeight="1">
      <c r="B11" s="3" t="s">
        <v>8</v>
      </c>
      <c r="C11" s="4">
        <f>'Delta Neutral'!B6</f>
        <v>44255.92</v>
      </c>
      <c r="D11" s="5">
        <f>'Delta Neutral'!E6</f>
        <v>0.07463973181</v>
      </c>
      <c r="E11" s="5">
        <f>C11/sum(C10:C12)</f>
        <v>0.4501632448</v>
      </c>
      <c r="F11" s="6"/>
    </row>
    <row r="12" ht="22.5" customHeight="1">
      <c r="B12" s="3" t="s">
        <v>9</v>
      </c>
      <c r="C12" s="4">
        <f>Depeg!B4</f>
        <v>5000.449932</v>
      </c>
      <c r="D12" s="5">
        <f>Depeg!C4</f>
        <v>0.002903004331</v>
      </c>
      <c r="E12" s="5">
        <f>C12/SUM(C10:C12)</f>
        <v>0.0508636758</v>
      </c>
      <c r="F12" s="6"/>
    </row>
    <row r="13" ht="22.5" customHeight="1">
      <c r="F13" s="6"/>
    </row>
    <row r="14" ht="22.5" customHeight="1">
      <c r="A14" s="2">
        <v>46112.48182959491</v>
      </c>
      <c r="B14" s="3" t="s">
        <v>7</v>
      </c>
      <c r="C14" s="4">
        <f>Lending!B6</f>
        <v>49061.3</v>
      </c>
      <c r="D14" s="5">
        <f>Lending!C6</f>
        <v>0.05093091942</v>
      </c>
      <c r="E14" s="5">
        <f>C14/sum(C14:C16)</f>
        <v>0.4986357504</v>
      </c>
      <c r="F14" s="6">
        <f>sum(D14*E14,D15*E15,D16*E16)</f>
        <v>0.0655768496</v>
      </c>
    </row>
    <row r="15" ht="22.5" customHeight="1">
      <c r="B15" s="3" t="s">
        <v>8</v>
      </c>
      <c r="C15" s="4">
        <f>'Delta Neutral'!B7</f>
        <v>44329.31</v>
      </c>
      <c r="D15" s="5">
        <f>'Delta Neutral'!E7</f>
        <v>0.09081914426</v>
      </c>
      <c r="E15" s="5">
        <f>C15/sum(C14:C16)</f>
        <v>0.4505420516</v>
      </c>
      <c r="F15" s="6"/>
    </row>
    <row r="16" ht="22.5" customHeight="1">
      <c r="B16" s="3" t="s">
        <v>9</v>
      </c>
      <c r="C16" s="4">
        <f>Depeg!B4</f>
        <v>5000.449932</v>
      </c>
      <c r="D16" s="5">
        <f>Depeg!C5</f>
        <v>-0.01450097074</v>
      </c>
      <c r="E16" s="5">
        <f>C16/SUM(C14:C16)</f>
        <v>0.05082219803</v>
      </c>
      <c r="F16" s="6"/>
    </row>
    <row r="17" ht="22.5" customHeight="1">
      <c r="F17" s="6"/>
    </row>
    <row r="18" ht="22.5" customHeight="1">
      <c r="A18" s="2">
        <v>46113.63474577546</v>
      </c>
      <c r="B18" s="3" t="s">
        <v>7</v>
      </c>
      <c r="C18" s="4">
        <f>Lending!B7</f>
        <v>49068.2394</v>
      </c>
      <c r="D18" s="5">
        <f>Lending!C7</f>
        <v>0.05162686272</v>
      </c>
      <c r="E18" s="5">
        <f>C18/sum(C18:C20)</f>
        <v>0.4988743566</v>
      </c>
      <c r="F18" s="6">
        <f>sum(D18*E18,D19*E19,D20*E20)</f>
        <v>0.06160296836</v>
      </c>
    </row>
    <row r="19" ht="22.5" customHeight="1">
      <c r="B19" s="3" t="s">
        <v>8</v>
      </c>
      <c r="C19" s="4">
        <f>'Delta Neutral'!B8</f>
        <v>44289.42</v>
      </c>
      <c r="D19" s="5">
        <f>'Delta Neutral'!E8</f>
        <v>0.07961043518</v>
      </c>
      <c r="E19" s="5">
        <f>C19/sum(C18:C20)</f>
        <v>0.4502883367</v>
      </c>
      <c r="F19" s="6"/>
    </row>
    <row r="20" ht="22.5" customHeight="1">
      <c r="B20" s="3" t="s">
        <v>9</v>
      </c>
      <c r="C20" s="4">
        <f>Depeg!B5</f>
        <v>5000.251271</v>
      </c>
      <c r="E20" s="5">
        <f>C20/SUM(C18:C20)</f>
        <v>0.0508373067</v>
      </c>
      <c r="F20" s="6"/>
    </row>
    <row r="21" ht="22.5" customHeight="1">
      <c r="F21" s="6"/>
    </row>
    <row r="22" ht="22.5" customHeight="1">
      <c r="A22" s="2">
        <v>46114.576017175925</v>
      </c>
      <c r="B22" s="3" t="s">
        <v>7</v>
      </c>
      <c r="C22" s="4">
        <f>Lending!B8</f>
        <v>57873.8991</v>
      </c>
      <c r="D22" s="5">
        <f>Lending!C8</f>
        <v>0.04210035912</v>
      </c>
      <c r="E22" s="5">
        <f>C22/sum(C22:C24)</f>
        <v>0.5545733977</v>
      </c>
      <c r="F22" s="6">
        <f>sum(D22*E22,D23*E23,D24*E24)</f>
        <v>0.04772595588</v>
      </c>
    </row>
    <row r="23" ht="22.5" customHeight="1">
      <c r="B23" s="3" t="s">
        <v>8</v>
      </c>
      <c r="C23" s="4">
        <f>'Delta Neutral'!B9</f>
        <v>41483.36</v>
      </c>
      <c r="D23" s="5">
        <f>'Delta Neutral'!E9</f>
        <v>0.06132699955</v>
      </c>
      <c r="E23" s="5">
        <f>C23/sum(C22:C24)</f>
        <v>0.3975119745</v>
      </c>
      <c r="F23" s="6"/>
    </row>
    <row r="24" ht="22.5" customHeight="1">
      <c r="B24" s="3" t="s">
        <v>9</v>
      </c>
      <c r="C24" s="4">
        <f>Depeg!B5</f>
        <v>5000.251271</v>
      </c>
      <c r="E24" s="5">
        <f>C24/SUM(C22:C24)</f>
        <v>0.04791462783</v>
      </c>
      <c r="F24" s="6"/>
    </row>
    <row r="25" ht="22.5" customHeight="1">
      <c r="F25" s="6"/>
    </row>
    <row r="26" ht="22.5" customHeight="1">
      <c r="F26" s="6"/>
    </row>
    <row r="27" ht="22.5" customHeight="1">
      <c r="F27" s="6"/>
    </row>
    <row r="28" ht="22.5" customHeight="1">
      <c r="F28" s="6"/>
    </row>
    <row r="29" ht="22.5" customHeight="1">
      <c r="F29" s="6"/>
    </row>
    <row r="30" ht="22.5" customHeight="1">
      <c r="F30" s="6"/>
    </row>
    <row r="31" ht="22.5" customHeight="1">
      <c r="F31" s="6"/>
    </row>
    <row r="32" ht="22.5" customHeight="1">
      <c r="F32" s="6"/>
    </row>
    <row r="33" ht="22.5" customHeight="1">
      <c r="F33" s="6"/>
    </row>
    <row r="34" ht="22.5" customHeight="1">
      <c r="F34" s="6"/>
    </row>
    <row r="35" ht="22.5" customHeight="1">
      <c r="F35" s="6"/>
    </row>
  </sheetData>
  <dataValidations>
    <dataValidation type="custom" allowBlank="1" showDropDown="1" sqref="F2:F3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</cols>
  <sheetData>
    <row r="1" ht="22.5" customHeight="1">
      <c r="A1" s="1" t="s">
        <v>0</v>
      </c>
      <c r="B1" s="1" t="s">
        <v>11</v>
      </c>
      <c r="C1" s="1" t="s">
        <v>12</v>
      </c>
      <c r="D1" s="9" t="s">
        <v>13</v>
      </c>
    </row>
    <row r="2" ht="22.5" customHeight="1">
      <c r="A2" s="2">
        <v>46098.91118679398</v>
      </c>
      <c r="B2" s="3">
        <f>64000</f>
        <v>64000</v>
      </c>
    </row>
    <row r="3" ht="22.5" customHeight="1">
      <c r="A3" s="2">
        <v>46105.4076999074</v>
      </c>
      <c r="B3" s="10">
        <f>61051.0631+3000</f>
        <v>64051.0631</v>
      </c>
      <c r="C3" s="5">
        <f>(B3/B2-1)*365/(int(A3)-int(A2))</f>
        <v>0.04160274888</v>
      </c>
    </row>
    <row r="4" ht="22.5" customHeight="1">
      <c r="A4" s="2">
        <v>46107.4047434838</v>
      </c>
      <c r="B4" s="10">
        <f>51067.8685+3000</f>
        <v>54067.8685</v>
      </c>
      <c r="C4" s="5">
        <f t="shared" ref="C4:C8" si="1">((B4-D4)/B3-1)*365/(int(A4)-int(A3))</f>
        <v>0.04788344411</v>
      </c>
      <c r="D4" s="3">
        <v>-10000.0</v>
      </c>
    </row>
    <row r="5" ht="22.5" customHeight="1">
      <c r="A5" s="2">
        <v>46111.41053420139</v>
      </c>
      <c r="B5" s="10">
        <f>39054.4551+10000</f>
        <v>49054.4551</v>
      </c>
      <c r="C5" s="5">
        <f t="shared" si="1"/>
        <v>0.03643156841</v>
      </c>
      <c r="D5" s="3">
        <f>-3008-9027-3000+10000</f>
        <v>-5035</v>
      </c>
    </row>
    <row r="6" ht="22.5" customHeight="1">
      <c r="A6" s="2">
        <v>46112.47966863426</v>
      </c>
      <c r="B6" s="10">
        <f>39059.9386+10001.3614</f>
        <v>49061.3</v>
      </c>
      <c r="C6" s="5">
        <f t="shared" si="1"/>
        <v>0.05093091942</v>
      </c>
    </row>
    <row r="7" ht="22.5" customHeight="1">
      <c r="A7" s="2">
        <v>46113.63303046297</v>
      </c>
      <c r="B7" s="10">
        <f>39065.6078+10002.6316</f>
        <v>49068.2394</v>
      </c>
      <c r="C7" s="5">
        <f t="shared" si="1"/>
        <v>0.05162686272</v>
      </c>
    </row>
    <row r="8" ht="22.5" customHeight="1">
      <c r="A8" s="2">
        <v>46114.63303240741</v>
      </c>
      <c r="B8" s="10">
        <f>39070.4517+10003.3374 +8800.11 </f>
        <v>57873.8991</v>
      </c>
      <c r="C8" s="5">
        <f t="shared" si="1"/>
        <v>0.04210035912</v>
      </c>
      <c r="D8" s="3">
        <v>8800.0</v>
      </c>
    </row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4" max="4" width="14.0"/>
    <col customWidth="1" min="6" max="6" width="14.13"/>
  </cols>
  <sheetData>
    <row r="1" ht="22.5" customHeight="1">
      <c r="A1" s="1" t="s">
        <v>0</v>
      </c>
      <c r="B1" s="1" t="s">
        <v>11</v>
      </c>
      <c r="C1" s="11" t="s">
        <v>14</v>
      </c>
      <c r="D1" s="1" t="s">
        <v>15</v>
      </c>
      <c r="E1" s="1" t="s">
        <v>16</v>
      </c>
      <c r="F1" s="1" t="s">
        <v>17</v>
      </c>
    </row>
    <row r="2" ht="22.5" customHeight="1">
      <c r="A2" s="2">
        <v>46098.91118679398</v>
      </c>
      <c r="B2" s="3">
        <v>25000.0</v>
      </c>
      <c r="C2" s="3"/>
    </row>
    <row r="3" ht="22.5" customHeight="1">
      <c r="A3" s="2">
        <v>46105.403222361114</v>
      </c>
      <c r="B3" s="3">
        <f>13109.92 +14787.44+3103.85 </f>
        <v>31001.21</v>
      </c>
      <c r="C3" s="3"/>
      <c r="D3" s="7">
        <f>2.19-1.44-15.81-4.73</f>
        <v>-19.79</v>
      </c>
      <c r="E3" s="5">
        <f>(D3/B2)*365/7</f>
        <v>-0.04127628571</v>
      </c>
      <c r="F3" s="3">
        <v>6000.0</v>
      </c>
    </row>
    <row r="4" ht="22.5" customHeight="1">
      <c r="A4" s="2">
        <v>46107.40892377315</v>
      </c>
      <c r="B4" s="7">
        <f>(19991.58-5063.06-1441.73)+14067.77+(13618.62-21.83)</f>
        <v>41151.35</v>
      </c>
      <c r="D4" s="7">
        <f t="shared" ref="D4:D5" si="1">-13.57+0.06-0.11+4.76</f>
        <v>-8.86</v>
      </c>
      <c r="E4" s="5">
        <f t="shared" ref="E4:E9" si="2">(D4/B4)*365/(int(A4)-int(A3))</f>
        <v>-0.0392927571</v>
      </c>
      <c r="F4" s="3">
        <v>10000.0</v>
      </c>
    </row>
    <row r="5" ht="22.5" customHeight="1">
      <c r="A5" s="2">
        <v>46108.40892361111</v>
      </c>
      <c r="B5" s="10">
        <f>7802.13+(41121.18-3273.56-1296.15)+6959.47</f>
        <v>51313.07</v>
      </c>
      <c r="C5" s="10"/>
      <c r="D5" s="7">
        <f t="shared" si="1"/>
        <v>-8.86</v>
      </c>
      <c r="E5" s="5">
        <f t="shared" si="2"/>
        <v>-0.06302292964</v>
      </c>
      <c r="F5" s="7">
        <f>9000</f>
        <v>9000</v>
      </c>
    </row>
    <row r="6" ht="22.5" customHeight="1">
      <c r="A6" s="2">
        <v>46111.413029918986</v>
      </c>
      <c r="B6" s="10">
        <f>(12138.46-2137.89)+(38692.52-1225.9-3211.27)</f>
        <v>44255.92</v>
      </c>
      <c r="C6" s="10"/>
      <c r="D6" s="3">
        <v>27.15</v>
      </c>
      <c r="E6" s="5">
        <f t="shared" si="2"/>
        <v>0.07463973181</v>
      </c>
    </row>
    <row r="7" ht="22.5" customHeight="1">
      <c r="A7" s="2">
        <v>46112.41303240741</v>
      </c>
      <c r="B7" s="10">
        <f>(12017.38-2020.41)+34332.34</f>
        <v>44329.31</v>
      </c>
      <c r="D7" s="3">
        <f>38.18-D6</f>
        <v>11.03</v>
      </c>
      <c r="E7" s="5">
        <f t="shared" si="2"/>
        <v>0.09081914426</v>
      </c>
    </row>
    <row r="8" ht="22.5" customHeight="1">
      <c r="A8" s="12">
        <v>46113.0</v>
      </c>
      <c r="B8" s="10">
        <f>34291.4+(12026.07-2028.05)</f>
        <v>44289.42</v>
      </c>
      <c r="D8" s="3">
        <f>(19.71+2.1+19.65+6.38)-sum($D$6:D7)</f>
        <v>9.66</v>
      </c>
      <c r="E8" s="5">
        <f t="shared" si="2"/>
        <v>0.07961043518</v>
      </c>
    </row>
    <row r="9" ht="22.5" customHeight="1">
      <c r="A9" s="12">
        <v>46114.0</v>
      </c>
      <c r="B9" s="10">
        <v>41483.36</v>
      </c>
      <c r="D9" s="7">
        <f>(3.9+23.08+2.38+17.44+4.34+3.67)-sum($D$6:D8)</f>
        <v>6.97</v>
      </c>
      <c r="E9" s="5">
        <f t="shared" si="2"/>
        <v>0.06132699955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5"/>
  </cols>
  <sheetData>
    <row r="1">
      <c r="A1" s="8" t="s">
        <v>0</v>
      </c>
      <c r="B1" s="8" t="s">
        <v>18</v>
      </c>
      <c r="C1" s="8" t="s">
        <v>12</v>
      </c>
    </row>
    <row r="2">
      <c r="A2" s="13">
        <v>46098.91118679398</v>
      </c>
      <c r="B2" s="8">
        <v>5000.0</v>
      </c>
    </row>
    <row r="3">
      <c r="A3" s="13">
        <v>46105.406750069444</v>
      </c>
      <c r="B3" s="14">
        <f>3000.20996401+2000.00135484</f>
        <v>5000.211319</v>
      </c>
      <c r="C3" s="15">
        <f t="shared" ref="C3:C5" si="1">(B3/B2-1)*365/(int(A3)-int(A2))</f>
        <v>0.002203753721</v>
      </c>
    </row>
    <row r="4">
      <c r="A4" s="16">
        <v>46111.0</v>
      </c>
      <c r="B4" s="17">
        <v>5000.44993203</v>
      </c>
      <c r="C4" s="15">
        <f t="shared" si="1"/>
        <v>0.002903004331</v>
      </c>
    </row>
    <row r="5">
      <c r="A5" s="13">
        <v>46112.4823841551</v>
      </c>
      <c r="B5" s="17">
        <v>5000.25127072</v>
      </c>
      <c r="C5" s="15">
        <f t="shared" si="1"/>
        <v>-0.01450097074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7.13"/>
    <col customWidth="1" min="3" max="3" width="22.13"/>
    <col customWidth="1" min="4" max="4" width="23.88"/>
    <col customWidth="1" min="5" max="5" width="15.25"/>
    <col customWidth="1" min="6" max="7" width="15.5"/>
    <col customWidth="1" min="8" max="8" width="20.63"/>
    <col customWidth="1" min="9" max="9" width="14.38"/>
  </cols>
  <sheetData>
    <row r="1" ht="22.5" customHeight="1">
      <c r="A1" s="1" t="s">
        <v>0</v>
      </c>
      <c r="B1" s="1" t="s">
        <v>6</v>
      </c>
      <c r="C1" s="1" t="s">
        <v>19</v>
      </c>
      <c r="D1" s="11" t="s">
        <v>20</v>
      </c>
      <c r="E1" s="1" t="s">
        <v>21</v>
      </c>
      <c r="F1" s="1" t="s">
        <v>7</v>
      </c>
      <c r="G1" s="11" t="s">
        <v>22</v>
      </c>
      <c r="H1" s="18" t="s">
        <v>23</v>
      </c>
      <c r="I1" s="9" t="s">
        <v>24</v>
      </c>
    </row>
    <row r="2" ht="22.5" customHeight="1">
      <c r="A2" s="2">
        <v>46098.91118679398</v>
      </c>
      <c r="B2" s="4">
        <f t="shared" ref="B2:B5" si="1">sum(C2:F2)</f>
        <v>100073.01</v>
      </c>
      <c r="C2" s="10">
        <v>12500.0</v>
      </c>
      <c r="D2" s="10"/>
      <c r="E2" s="10">
        <v>12573.01</v>
      </c>
      <c r="F2" s="3">
        <v>75000.0</v>
      </c>
      <c r="G2" s="3"/>
      <c r="H2" s="19"/>
    </row>
    <row r="3" ht="22.5" customHeight="1">
      <c r="A3" s="2">
        <v>46098.91964017361</v>
      </c>
      <c r="B3" s="4">
        <f t="shared" si="1"/>
        <v>100034.3</v>
      </c>
      <c r="C3" s="10">
        <v>12508.9</v>
      </c>
      <c r="D3" s="10"/>
      <c r="E3" s="10">
        <f>8751.31+3774.09</f>
        <v>12525.4</v>
      </c>
      <c r="F3" s="3">
        <v>75000.0</v>
      </c>
      <c r="G3" s="3"/>
      <c r="H3" s="20"/>
    </row>
    <row r="4" ht="22.5" customHeight="1">
      <c r="A4" s="2">
        <v>46098.92635462963</v>
      </c>
      <c r="B4" s="4">
        <f t="shared" si="1"/>
        <v>100036</v>
      </c>
      <c r="C4" s="10">
        <v>12587.3</v>
      </c>
      <c r="D4" s="10"/>
      <c r="E4" s="10">
        <v>12448.7</v>
      </c>
      <c r="F4" s="3">
        <v>75000.0</v>
      </c>
      <c r="G4" s="3"/>
      <c r="H4" s="20"/>
      <c r="K4" s="8" t="s">
        <v>25</v>
      </c>
    </row>
    <row r="5" ht="22.5" customHeight="1">
      <c r="A5" s="2">
        <v>46098.988112743056</v>
      </c>
      <c r="B5" s="4">
        <f t="shared" si="1"/>
        <v>100012.23</v>
      </c>
      <c r="C5" s="10">
        <f>12640.2+1986.66+(1080-77)</f>
        <v>15629.86</v>
      </c>
      <c r="D5" s="10"/>
      <c r="E5" s="10">
        <v>15382.37</v>
      </c>
      <c r="F5" s="3">
        <f>64000+5000</f>
        <v>69000</v>
      </c>
      <c r="G5" s="3"/>
      <c r="H5" s="20"/>
      <c r="I5" s="3">
        <v>6000.0</v>
      </c>
      <c r="L5" s="8" t="s">
        <v>26</v>
      </c>
      <c r="M5" s="8" t="s">
        <v>27</v>
      </c>
      <c r="N5" s="8" t="s">
        <v>28</v>
      </c>
    </row>
    <row r="6" ht="22.5" customHeight="1">
      <c r="A6" s="2">
        <v>46099.90454787037</v>
      </c>
      <c r="B6" s="4">
        <f t="shared" ref="B6:B7" si="2">sum(C6:G6)</f>
        <v>100027.74</v>
      </c>
      <c r="C6" s="10">
        <f>12721.71+1974.61 +(1080-77)</f>
        <v>15699.32</v>
      </c>
      <c r="D6" s="10"/>
      <c r="E6" s="10">
        <v>15328.42</v>
      </c>
      <c r="F6" s="3">
        <f>64000</f>
        <v>64000</v>
      </c>
      <c r="G6" s="3">
        <v>5000.0</v>
      </c>
      <c r="H6" s="20"/>
      <c r="K6" s="13">
        <v>46098.91964017361</v>
      </c>
      <c r="L6" s="8" t="s">
        <v>29</v>
      </c>
      <c r="M6" s="14">
        <f>-(0.09*8+6.4+3.27*2)</f>
        <v>-13.66</v>
      </c>
      <c r="N6" s="15">
        <f>M6/(8750*2)</f>
        <v>-0.0007805714286</v>
      </c>
    </row>
    <row r="7" ht="22.5" customHeight="1">
      <c r="A7" s="2">
        <v>46101.49412430555</v>
      </c>
      <c r="B7" s="4">
        <f t="shared" si="2"/>
        <v>100048.1961</v>
      </c>
      <c r="C7" s="10">
        <v>12651.04</v>
      </c>
      <c r="D7" s="10">
        <v>3037.36</v>
      </c>
      <c r="E7" s="10">
        <v>15339.35</v>
      </c>
      <c r="F7" s="10">
        <f>61020.2851+3000</f>
        <v>64020.2851</v>
      </c>
      <c r="G7" s="10">
        <f>3000.011+2000.14998620912</f>
        <v>5000.160986</v>
      </c>
      <c r="H7" s="20">
        <f>(F7/F6-1)*365/(int(A7)-int(A6))</f>
        <v>0.05784423047</v>
      </c>
      <c r="K7" s="13">
        <v>46099.919641203705</v>
      </c>
      <c r="L7" s="8" t="s">
        <v>30</v>
      </c>
      <c r="M7" s="14">
        <f>-(2.4+1.29+0.09*3)</f>
        <v>-3.96</v>
      </c>
      <c r="N7" s="15">
        <f>M7/(3000*2)</f>
        <v>-0.00066</v>
      </c>
    </row>
    <row r="8" ht="22.5" customHeight="1">
      <c r="H8" s="20"/>
    </row>
    <row r="9" ht="22.5" customHeight="1">
      <c r="H9" s="20"/>
    </row>
    <row r="10" ht="22.5" customHeight="1">
      <c r="H10" s="20"/>
    </row>
    <row r="11" ht="22.5" customHeight="1">
      <c r="H11" s="20"/>
    </row>
    <row r="12" ht="22.5" customHeight="1">
      <c r="H12" s="20"/>
      <c r="N12" s="8" t="s">
        <v>31</v>
      </c>
      <c r="O12" s="21">
        <f>B2-B5</f>
        <v>60.78</v>
      </c>
    </row>
    <row r="13" ht="22.5" customHeight="1">
      <c r="H13" s="20"/>
      <c r="O13" s="22">
        <f>O12/sum(C5:E5)</f>
        <v>0.00195987196</v>
      </c>
    </row>
    <row r="14" ht="22.5" customHeight="1">
      <c r="H14" s="20"/>
    </row>
    <row r="15" ht="22.5" customHeight="1">
      <c r="H15" s="20"/>
    </row>
    <row r="16" ht="22.5" customHeight="1">
      <c r="H16" s="20"/>
    </row>
    <row r="17" ht="22.5" customHeight="1">
      <c r="H17" s="20"/>
    </row>
    <row r="18" ht="22.5" customHeight="1">
      <c r="H18" s="20"/>
    </row>
    <row r="19" ht="22.5" customHeight="1">
      <c r="H19" s="20"/>
    </row>
    <row r="20" ht="22.5" customHeight="1">
      <c r="H20" s="20"/>
    </row>
    <row r="21" ht="22.5" customHeight="1">
      <c r="H21" s="20"/>
    </row>
    <row r="22" ht="22.5" customHeight="1">
      <c r="H22" s="20"/>
    </row>
    <row r="23" ht="22.5" customHeight="1">
      <c r="H23" s="20"/>
    </row>
    <row r="24" ht="22.5" customHeight="1">
      <c r="H24" s="20"/>
    </row>
    <row r="25" ht="22.5" customHeight="1">
      <c r="H25" s="20"/>
    </row>
    <row r="26" ht="22.5" customHeight="1">
      <c r="H26" s="20"/>
    </row>
    <row r="27" ht="22.5" customHeight="1">
      <c r="H27" s="20"/>
    </row>
    <row r="28" ht="22.5" customHeight="1">
      <c r="H28" s="20"/>
    </row>
    <row r="29" ht="22.5" customHeight="1">
      <c r="H29" s="20"/>
    </row>
    <row r="30" ht="22.5" customHeight="1">
      <c r="H30" s="20"/>
    </row>
    <row r="31" ht="22.5" customHeight="1">
      <c r="H31" s="20"/>
    </row>
    <row r="32" ht="22.5" customHeight="1">
      <c r="H32" s="20"/>
    </row>
    <row r="33" ht="22.5" customHeight="1">
      <c r="H33" s="20"/>
    </row>
    <row r="34" ht="22.5" customHeight="1">
      <c r="H34" s="20"/>
    </row>
    <row r="35" ht="22.5" customHeight="1">
      <c r="H35" s="20"/>
    </row>
    <row r="36" ht="22.5" customHeight="1">
      <c r="H36" s="20"/>
    </row>
    <row r="37" ht="22.5" customHeight="1">
      <c r="H37" s="20"/>
    </row>
    <row r="38" ht="22.5" customHeight="1">
      <c r="H38" s="20"/>
    </row>
    <row r="39" ht="22.5" customHeight="1">
      <c r="H39" s="20"/>
    </row>
    <row r="40" ht="22.5" customHeight="1">
      <c r="H40" s="20"/>
    </row>
    <row r="41" ht="22.5" customHeight="1">
      <c r="H41" s="20"/>
    </row>
    <row r="42" ht="22.5" customHeight="1">
      <c r="H42" s="20"/>
    </row>
    <row r="43" ht="22.5" customHeight="1">
      <c r="H43" s="20"/>
    </row>
    <row r="44" ht="22.5" customHeight="1">
      <c r="H44" s="20"/>
    </row>
    <row r="45" ht="22.5" customHeight="1">
      <c r="H45" s="20"/>
    </row>
    <row r="46" ht="22.5" customHeight="1">
      <c r="H46" s="20"/>
    </row>
  </sheetData>
  <dataValidations>
    <dataValidation type="custom" allowBlank="1" showDropDown="1" sqref="H2:H4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